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lonfalcon/Downloads/"/>
    </mc:Choice>
  </mc:AlternateContent>
  <xr:revisionPtr revIDLastSave="0" documentId="13_ncr:1_{F18E8AE6-48B9-EC4C-B175-8052D8048D4D}" xr6:coauthVersionLast="47" xr6:coauthVersionMax="47" xr10:uidLastSave="{00000000-0000-0000-0000-000000000000}"/>
  <bookViews>
    <workbookView xWindow="5760" yWindow="1540" windowWidth="25720" windowHeight="16460" xr2:uid="{00000000-000D-0000-FFFF-FFFF00000000}"/>
  </bookViews>
  <sheets>
    <sheet name="N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  <c r="M31" i="1"/>
  <c r="K31" i="1"/>
  <c r="K32" i="1" s="1"/>
  <c r="K33" i="1" s="1"/>
  <c r="K34" i="1" s="1"/>
  <c r="M30" i="1"/>
  <c r="K30" i="1"/>
  <c r="M29" i="1"/>
  <c r="K29" i="1"/>
  <c r="M25" i="1"/>
  <c r="M24" i="1"/>
  <c r="M23" i="1"/>
  <c r="M18" i="1"/>
  <c r="M17" i="1"/>
  <c r="M16" i="1"/>
  <c r="M15" i="1"/>
  <c r="M14" i="1"/>
  <c r="M26" i="1" l="1"/>
  <c r="N26" i="1" s="1"/>
  <c r="M32" i="1"/>
  <c r="M34" i="1" s="1"/>
  <c r="K35" i="1" s="1"/>
  <c r="M20" i="1"/>
  <c r="N20" i="1" s="1"/>
  <c r="N35" i="1" l="1"/>
  <c r="N37" i="1" s="1"/>
  <c r="N38" i="1" l="1"/>
  <c r="N39" i="1" s="1"/>
  <c r="N40" i="1" s="1"/>
  <c r="N41" i="1" s="1"/>
  <c r="N42" i="1" s="1"/>
  <c r="N43" i="1" s="1"/>
  <c r="N19" i="1"/>
  <c r="N25" i="1"/>
  <c r="N34" i="1"/>
</calcChain>
</file>

<file path=xl/sharedStrings.xml><?xml version="1.0" encoding="utf-8"?>
<sst xmlns="http://schemas.openxmlformats.org/spreadsheetml/2006/main" count="60" uniqueCount="51">
  <si>
    <t>ANALISIS DE PRECIO UNITARIO</t>
  </si>
  <si>
    <t>Código: SC</t>
  </si>
  <si>
    <t>Unidad: m</t>
  </si>
  <si>
    <t>Cantidad: 36,28</t>
  </si>
  <si>
    <t>Rendimiento:</t>
  </si>
  <si>
    <t>1.-MATERIALES</t>
  </si>
  <si>
    <t>No</t>
  </si>
  <si>
    <t>Descripción</t>
  </si>
  <si>
    <t>Und</t>
  </si>
  <si>
    <t>Cantidad</t>
  </si>
  <si>
    <t>Desp</t>
  </si>
  <si>
    <t>Precio</t>
  </si>
  <si>
    <t>Total</t>
  </si>
  <si>
    <t xml:space="preserve"> CONSUMIBLES</t>
  </si>
  <si>
    <t>SG</t>
  </si>
  <si>
    <t>ML</t>
  </si>
  <si>
    <t>PZA</t>
  </si>
  <si>
    <t xml:space="preserve"> DISCO ABRASIVO PARA ESMERIL 7"</t>
  </si>
  <si>
    <t>pza</t>
  </si>
  <si>
    <t xml:space="preserve"> DISCO DE CORTE 7"</t>
  </si>
  <si>
    <t>Flete por Transporte:</t>
  </si>
  <si>
    <t>Total Materiales:</t>
  </si>
  <si>
    <t>2.-EQUIPOS</t>
  </si>
  <si>
    <t>Deprec</t>
  </si>
  <si>
    <t>Total Equipos:</t>
  </si>
  <si>
    <t>3.-MANO DE OBRA</t>
  </si>
  <si>
    <t>Jornal</t>
  </si>
  <si>
    <t>Bono</t>
  </si>
  <si>
    <t>T.Jornal</t>
  </si>
  <si>
    <t>T.Bono</t>
  </si>
  <si>
    <t xml:space="preserve"> MONTADOR</t>
  </si>
  <si>
    <t xml:space="preserve"> AYUDANTE</t>
  </si>
  <si>
    <t>Sub-Total Mano de Obra:</t>
  </si>
  <si>
    <t>1800,00% Prestaciones Sociales:</t>
  </si>
  <si>
    <t>Total Jornal y Bono:</t>
  </si>
  <si>
    <t>Total Mano de Obra:</t>
  </si>
  <si>
    <t>Costo Directo Sub-Total A:</t>
  </si>
  <si>
    <t>35,00% Administración y Gastos Generales:</t>
  </si>
  <si>
    <t>Sub-Total B:</t>
  </si>
  <si>
    <t>30,00% Utilidad o Imprevistos:</t>
  </si>
  <si>
    <t>Sub-Total C:</t>
  </si>
  <si>
    <t>0,00% Financiamiento:</t>
  </si>
  <si>
    <t>Precio Unitario:</t>
  </si>
  <si>
    <t>SUMINISTRO Y FABRICACION DE DEMO 1</t>
  </si>
  <si>
    <t xml:space="preserve"> TUBERIA AI304 SIN COSTURA 22</t>
  </si>
  <si>
    <t xml:space="preserve"> TORNILLO T1</t>
  </si>
  <si>
    <t xml:space="preserve"> HERRAMIENTAS SUP</t>
  </si>
  <si>
    <t xml:space="preserve"> ESMERIL PORTATIL</t>
  </si>
  <si>
    <t xml:space="preserve"> EXTENSIÓN ELECTRICA</t>
  </si>
  <si>
    <t>ARQUITECTO</t>
  </si>
  <si>
    <t>EMPRESA: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</si>
</sst>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;;;"/>
    <numFmt numFmtId="166" formatCode="0.0"/>
    <numFmt numFmtId="167" formatCode="#,##0.000"/>
    <numFmt numFmtId="168" formatCode="0.000000"/>
  </numFmts>
  <fonts count="9">
    <font>
      <sz val="8"/>
      <color rgb="FF000000"/>
      <name val="Tahoma"/>
      <scheme val="minor"/>
    </font>
    <font>
      <sz val="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rgb="FF000080"/>
      <name val="Tahoma"/>
      <family val="2"/>
    </font>
    <font>
      <sz val="8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7"/>
      <color theme="1"/>
      <name val="Tahoma"/>
      <family val="2"/>
    </font>
    <font>
      <sz val="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right" vertical="center"/>
    </xf>
    <xf numFmtId="4" fontId="1" fillId="0" borderId="5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right" vertical="center"/>
    </xf>
    <xf numFmtId="4" fontId="1" fillId="0" borderId="9" xfId="0" applyNumberFormat="1" applyFont="1" applyBorder="1" applyAlignment="1">
      <alignment horizontal="right" vertical="center"/>
    </xf>
    <xf numFmtId="10" fontId="7" fillId="0" borderId="0" xfId="0" applyNumberFormat="1" applyFont="1" applyAlignment="1">
      <alignment horizontal="center" vertical="center"/>
    </xf>
    <xf numFmtId="4" fontId="1" fillId="0" borderId="10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10" xfId="0" applyFont="1" applyBorder="1"/>
    <xf numFmtId="167" fontId="1" fillId="0" borderId="4" xfId="0" applyNumberFormat="1" applyFont="1" applyBorder="1" applyAlignment="1">
      <alignment horizontal="right" vertical="center"/>
    </xf>
    <xf numFmtId="0" fontId="0" fillId="0" borderId="0" xfId="0"/>
    <xf numFmtId="168" fontId="1" fillId="0" borderId="4" xfId="0" applyNumberFormat="1" applyFont="1" applyBorder="1" applyAlignment="1">
      <alignment horizontal="right" vertical="center"/>
    </xf>
    <xf numFmtId="4" fontId="1" fillId="0" borderId="4" xfId="0" applyNumberFormat="1" applyFont="1" applyBorder="1" applyAlignment="1">
      <alignment horizontal="right" vertical="center"/>
    </xf>
    <xf numFmtId="0" fontId="4" fillId="0" borderId="5" xfId="0" applyFont="1" applyBorder="1"/>
    <xf numFmtId="167" fontId="1" fillId="0" borderId="6" xfId="0" applyNumberFormat="1" applyFont="1" applyBorder="1" applyAlignment="1">
      <alignment horizontal="right" vertical="center"/>
    </xf>
    <xf numFmtId="0" fontId="4" fillId="0" borderId="7" xfId="0" applyFont="1" applyBorder="1"/>
    <xf numFmtId="168" fontId="1" fillId="0" borderId="6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0" fontId="4" fillId="0" borderId="8" xfId="0" applyFont="1" applyBorder="1"/>
    <xf numFmtId="0" fontId="1" fillId="0" borderId="11" xfId="0" applyFont="1" applyBorder="1" applyAlignment="1">
      <alignment horizontal="right" vertical="center"/>
    </xf>
    <xf numFmtId="0" fontId="4" fillId="0" borderId="11" xfId="0" applyFont="1" applyBorder="1"/>
    <xf numFmtId="0" fontId="7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2" xfId="0" applyNumberFormat="1" applyFont="1" applyBorder="1" applyAlignment="1">
      <alignment horizontal="right" vertical="center"/>
    </xf>
    <xf numFmtId="0" fontId="4" fillId="0" borderId="13" xfId="0" applyFont="1" applyBorder="1"/>
    <xf numFmtId="0" fontId="5" fillId="0" borderId="0" xfId="0" applyFont="1" applyAlignment="1">
      <alignment horizontal="right" vertic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tabSelected="1" workbookViewId="0">
      <selection activeCell="R38" sqref="R38"/>
    </sheetView>
  </sheetViews>
  <sheetFormatPr baseColWidth="10" defaultColWidth="16.75" defaultRowHeight="15" customHeight="1"/>
  <cols>
    <col min="1" max="1" width="5.75" customWidth="1"/>
    <col min="2" max="2" width="3.75" customWidth="1"/>
    <col min="3" max="3" width="10.75" hidden="1" customWidth="1"/>
    <col min="4" max="4" width="24.75" customWidth="1"/>
    <col min="5" max="5" width="15.75" customWidth="1"/>
    <col min="6" max="6" width="2.75" customWidth="1"/>
    <col min="7" max="7" width="6.75" customWidth="1"/>
    <col min="8" max="8" width="2.75" customWidth="1"/>
    <col min="9" max="9" width="6.75" customWidth="1"/>
    <col min="10" max="11" width="10.75" customWidth="1"/>
    <col min="12" max="12" width="3.75" customWidth="1"/>
    <col min="13" max="14" width="12.75" customWidth="1"/>
    <col min="15" max="15" width="10.75" customWidth="1"/>
  </cols>
  <sheetData>
    <row r="1" spans="1:14" ht="15" customHeight="1">
      <c r="A1" s="1"/>
    </row>
    <row r="2" spans="1:14" ht="36" customHeight="1">
      <c r="B2" s="47"/>
      <c r="C2" s="23"/>
      <c r="D2" s="23"/>
      <c r="E2" s="23"/>
      <c r="F2" s="23"/>
      <c r="G2" s="23"/>
      <c r="H2" s="23"/>
      <c r="I2" s="23"/>
      <c r="J2" s="23"/>
      <c r="K2" s="23"/>
      <c r="L2" s="23"/>
      <c r="M2" s="48"/>
      <c r="N2" s="23"/>
    </row>
    <row r="3" spans="1:14" ht="12.75" customHeight="1">
      <c r="B3" s="49"/>
      <c r="C3" s="23"/>
      <c r="D3" s="23"/>
    </row>
    <row r="4" spans="1:14" ht="12.75" customHeight="1">
      <c r="B4" s="50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4" ht="12.75" customHeight="1"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4" ht="4.5" customHeight="1"/>
    <row r="7" spans="1:14" ht="18" customHeight="1">
      <c r="B7" s="51" t="s">
        <v>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4" ht="6" customHeight="1"/>
    <row r="9" spans="1:14" ht="30" customHeight="1">
      <c r="B9" s="52" t="s">
        <v>43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4" ht="12.75" customHeight="1">
      <c r="B10" s="53" t="s">
        <v>1</v>
      </c>
      <c r="C10" s="23"/>
      <c r="D10" s="23"/>
      <c r="E10" s="2" t="s">
        <v>2</v>
      </c>
      <c r="F10" s="53" t="s">
        <v>3</v>
      </c>
      <c r="G10" s="23"/>
      <c r="H10" s="23"/>
      <c r="I10" s="23"/>
      <c r="J10" s="41" t="s">
        <v>4</v>
      </c>
      <c r="K10" s="23"/>
      <c r="L10" s="54">
        <v>30</v>
      </c>
      <c r="M10" s="38"/>
      <c r="N10" s="3">
        <v>36.28</v>
      </c>
    </row>
    <row r="11" spans="1:14" ht="6" customHeight="1"/>
    <row r="12" spans="1:14" ht="12.75" customHeight="1">
      <c r="B12" s="35" t="s">
        <v>5</v>
      </c>
      <c r="C12" s="23"/>
      <c r="D12" s="23"/>
      <c r="E12" s="23"/>
      <c r="F12" s="23"/>
    </row>
    <row r="13" spans="1:14" ht="12.75" customHeight="1">
      <c r="B13" s="4" t="s">
        <v>6</v>
      </c>
      <c r="C13" s="36" t="s">
        <v>7</v>
      </c>
      <c r="D13" s="37"/>
      <c r="E13" s="37"/>
      <c r="F13" s="37"/>
      <c r="G13" s="4" t="s">
        <v>8</v>
      </c>
      <c r="H13" s="36" t="s">
        <v>9</v>
      </c>
      <c r="I13" s="37"/>
      <c r="J13" s="4" t="s">
        <v>10</v>
      </c>
      <c r="K13" s="36" t="s">
        <v>11</v>
      </c>
      <c r="L13" s="38"/>
      <c r="M13" s="5" t="s">
        <v>12</v>
      </c>
    </row>
    <row r="14" spans="1:14" ht="12.75" customHeight="1">
      <c r="B14" s="6">
        <v>1</v>
      </c>
      <c r="C14" s="7"/>
      <c r="D14" s="55" t="s">
        <v>13</v>
      </c>
      <c r="E14" s="23"/>
      <c r="F14" s="23"/>
      <c r="G14" s="8" t="s">
        <v>14</v>
      </c>
      <c r="H14" s="56">
        <v>0.5</v>
      </c>
      <c r="I14" s="23"/>
      <c r="J14" s="9">
        <v>0</v>
      </c>
      <c r="K14" s="25">
        <v>0.5</v>
      </c>
      <c r="L14" s="26"/>
      <c r="M14" s="11">
        <f>ROUND(H14*(1+J14/100)*K14,2)</f>
        <v>0.25</v>
      </c>
    </row>
    <row r="15" spans="1:14" ht="12.75" customHeight="1">
      <c r="B15" s="6">
        <v>2</v>
      </c>
      <c r="C15" s="7"/>
      <c r="D15" s="55" t="s">
        <v>44</v>
      </c>
      <c r="E15" s="23"/>
      <c r="F15" s="23"/>
      <c r="G15" s="8" t="s">
        <v>15</v>
      </c>
      <c r="H15" s="56">
        <v>1</v>
      </c>
      <c r="I15" s="23"/>
      <c r="J15" s="9">
        <v>5</v>
      </c>
      <c r="K15" s="25">
        <v>25.23</v>
      </c>
      <c r="L15" s="26"/>
      <c r="M15" s="11">
        <f>ROUND(H15*(1+J15/100)*K15,2)</f>
        <v>26.49</v>
      </c>
    </row>
    <row r="16" spans="1:14" ht="12.75" customHeight="1">
      <c r="B16" s="6">
        <v>3</v>
      </c>
      <c r="C16" s="7"/>
      <c r="D16" s="55" t="s">
        <v>45</v>
      </c>
      <c r="E16" s="23"/>
      <c r="F16" s="23"/>
      <c r="G16" s="8" t="s">
        <v>16</v>
      </c>
      <c r="H16" s="56">
        <v>1.1000000000000001</v>
      </c>
      <c r="I16" s="23"/>
      <c r="J16" s="9">
        <v>0</v>
      </c>
      <c r="K16" s="25">
        <v>5</v>
      </c>
      <c r="L16" s="26"/>
      <c r="M16" s="11">
        <f>ROUND(H16*(1+J16/100)*K16,2)</f>
        <v>5.5</v>
      </c>
    </row>
    <row r="17" spans="2:14" ht="12.75" customHeight="1">
      <c r="B17" s="6">
        <v>4</v>
      </c>
      <c r="C17" s="7"/>
      <c r="D17" s="55" t="s">
        <v>17</v>
      </c>
      <c r="E17" s="23"/>
      <c r="F17" s="23"/>
      <c r="G17" s="8" t="s">
        <v>18</v>
      </c>
      <c r="H17" s="56">
        <v>0.05</v>
      </c>
      <c r="I17" s="23"/>
      <c r="J17" s="9">
        <v>5</v>
      </c>
      <c r="K17" s="25">
        <v>5</v>
      </c>
      <c r="L17" s="26"/>
      <c r="M17" s="11">
        <f>ROUND(H17*(1+J17/100)*K17,2)</f>
        <v>0.26</v>
      </c>
    </row>
    <row r="18" spans="2:14" ht="12.75" customHeight="1">
      <c r="B18" s="12">
        <v>5</v>
      </c>
      <c r="C18" s="13"/>
      <c r="D18" s="34" t="s">
        <v>19</v>
      </c>
      <c r="E18" s="28"/>
      <c r="F18" s="28"/>
      <c r="G18" s="14" t="s">
        <v>18</v>
      </c>
      <c r="H18" s="57">
        <v>0.02</v>
      </c>
      <c r="I18" s="28"/>
      <c r="J18" s="15">
        <v>5</v>
      </c>
      <c r="K18" s="30">
        <v>5</v>
      </c>
      <c r="L18" s="31"/>
      <c r="M18" s="11">
        <f>ROUND(H18*(1+J18/100)*K18,2)</f>
        <v>0.11</v>
      </c>
    </row>
    <row r="19" spans="2:14" ht="12.75" customHeight="1">
      <c r="G19" s="41" t="s">
        <v>20</v>
      </c>
      <c r="H19" s="23"/>
      <c r="I19" s="23"/>
      <c r="J19" s="23"/>
      <c r="K19" s="23"/>
      <c r="L19" s="23"/>
      <c r="M19" s="17">
        <v>0</v>
      </c>
      <c r="N19" s="18">
        <f>N20/N37</f>
        <v>0.726118904475618</v>
      </c>
    </row>
    <row r="20" spans="2:14" ht="12.75" customHeight="1">
      <c r="G20" s="41" t="s">
        <v>21</v>
      </c>
      <c r="H20" s="23"/>
      <c r="I20" s="23"/>
      <c r="J20" s="23"/>
      <c r="K20" s="23"/>
      <c r="L20" s="23"/>
      <c r="M20" s="19">
        <f>ROUND(M14 + M15 + M16 + M17 + M18 + M19, 2)</f>
        <v>32.61</v>
      </c>
      <c r="N20" s="19">
        <f>ROUND(M20,2)</f>
        <v>32.61</v>
      </c>
    </row>
    <row r="21" spans="2:14" ht="12.75" customHeight="1">
      <c r="B21" s="35" t="s">
        <v>22</v>
      </c>
      <c r="C21" s="23"/>
      <c r="D21" s="23"/>
      <c r="E21" s="23"/>
      <c r="F21" s="23"/>
    </row>
    <row r="22" spans="2:14" ht="12.75" customHeight="1">
      <c r="B22" s="4" t="s">
        <v>6</v>
      </c>
      <c r="C22" s="36" t="s">
        <v>7</v>
      </c>
      <c r="D22" s="37"/>
      <c r="E22" s="37"/>
      <c r="F22" s="37"/>
      <c r="G22" s="36" t="s">
        <v>9</v>
      </c>
      <c r="H22" s="37"/>
      <c r="I22" s="36" t="s">
        <v>23</v>
      </c>
      <c r="J22" s="37"/>
      <c r="K22" s="36" t="s">
        <v>11</v>
      </c>
      <c r="L22" s="38"/>
      <c r="M22" s="5" t="s">
        <v>12</v>
      </c>
    </row>
    <row r="23" spans="2:14" ht="12.75" customHeight="1">
      <c r="B23" s="6">
        <v>1</v>
      </c>
      <c r="C23" s="7"/>
      <c r="D23" s="55" t="s">
        <v>46</v>
      </c>
      <c r="E23" s="23"/>
      <c r="F23" s="23"/>
      <c r="G23" s="22">
        <v>1</v>
      </c>
      <c r="H23" s="23"/>
      <c r="I23" s="24">
        <v>1</v>
      </c>
      <c r="J23" s="23"/>
      <c r="K23" s="25">
        <v>5</v>
      </c>
      <c r="L23" s="26"/>
      <c r="M23" s="11">
        <f>ROUND(G23*(I23*K23),2)</f>
        <v>5</v>
      </c>
    </row>
    <row r="24" spans="2:14" ht="12.75" customHeight="1">
      <c r="B24" s="6">
        <v>2</v>
      </c>
      <c r="C24" s="7"/>
      <c r="D24" s="55" t="s">
        <v>47</v>
      </c>
      <c r="E24" s="23"/>
      <c r="F24" s="23"/>
      <c r="G24" s="22">
        <v>1</v>
      </c>
      <c r="H24" s="23"/>
      <c r="I24" s="24">
        <v>1</v>
      </c>
      <c r="J24" s="23"/>
      <c r="K24" s="25">
        <v>8</v>
      </c>
      <c r="L24" s="26"/>
      <c r="M24" s="11">
        <f>ROUND(G24*(I24*K24),2)</f>
        <v>8</v>
      </c>
    </row>
    <row r="25" spans="2:14" ht="12.75" customHeight="1">
      <c r="B25" s="12">
        <v>3</v>
      </c>
      <c r="C25" s="13"/>
      <c r="D25" s="34" t="s">
        <v>48</v>
      </c>
      <c r="E25" s="28"/>
      <c r="F25" s="28"/>
      <c r="G25" s="27">
        <v>2</v>
      </c>
      <c r="H25" s="28"/>
      <c r="I25" s="29">
        <v>1</v>
      </c>
      <c r="J25" s="28"/>
      <c r="K25" s="30">
        <v>1.8</v>
      </c>
      <c r="L25" s="31"/>
      <c r="M25" s="11">
        <f>ROUND(G25*(I25*K25),2)</f>
        <v>3.6</v>
      </c>
      <c r="N25" s="18">
        <f>N26/N37</f>
        <v>1.2246715653529283E-2</v>
      </c>
    </row>
    <row r="26" spans="2:14" ht="12.75" customHeight="1">
      <c r="G26" s="32" t="s">
        <v>24</v>
      </c>
      <c r="H26" s="33"/>
      <c r="I26" s="33"/>
      <c r="J26" s="33"/>
      <c r="K26" s="33"/>
      <c r="L26" s="33"/>
      <c r="M26" s="19">
        <f>ROUND(M23 + M24 + M25, 2)</f>
        <v>16.600000000000001</v>
      </c>
      <c r="N26" s="19">
        <f>ROUND(M26/L10, 2)</f>
        <v>0.55000000000000004</v>
      </c>
    </row>
    <row r="27" spans="2:14" ht="12.75" customHeight="1">
      <c r="B27" s="35" t="s">
        <v>25</v>
      </c>
      <c r="C27" s="23"/>
      <c r="D27" s="23"/>
      <c r="E27" s="23"/>
      <c r="F27" s="23"/>
    </row>
    <row r="28" spans="2:14" ht="12.75" customHeight="1">
      <c r="B28" s="4" t="s">
        <v>6</v>
      </c>
      <c r="C28" s="36" t="s">
        <v>7</v>
      </c>
      <c r="D28" s="37"/>
      <c r="E28" s="37"/>
      <c r="F28" s="36" t="s">
        <v>9</v>
      </c>
      <c r="G28" s="37"/>
      <c r="H28" s="36" t="s">
        <v>26</v>
      </c>
      <c r="I28" s="37"/>
      <c r="J28" s="4" t="s">
        <v>27</v>
      </c>
      <c r="K28" s="36" t="s">
        <v>28</v>
      </c>
      <c r="L28" s="38"/>
      <c r="M28" s="5" t="s">
        <v>29</v>
      </c>
    </row>
    <row r="29" spans="2:14" ht="12.75" customHeight="1">
      <c r="B29" s="6">
        <v>1</v>
      </c>
      <c r="C29" s="39" t="s">
        <v>49</v>
      </c>
      <c r="D29" s="23"/>
      <c r="E29" s="23"/>
      <c r="F29" s="25">
        <v>1</v>
      </c>
      <c r="G29" s="23"/>
      <c r="H29" s="25">
        <v>5.0599999999999996</v>
      </c>
      <c r="I29" s="23"/>
      <c r="J29" s="10">
        <v>11.5</v>
      </c>
      <c r="K29" s="25">
        <f>ROUND(F29*H29,2)</f>
        <v>5.0599999999999996</v>
      </c>
      <c r="L29" s="26"/>
      <c r="M29" s="11">
        <f>ROUND(F29*J29,2)</f>
        <v>11.5</v>
      </c>
    </row>
    <row r="30" spans="2:14" ht="12.75" customHeight="1">
      <c r="B30" s="6">
        <v>2</v>
      </c>
      <c r="C30" s="39" t="s">
        <v>30</v>
      </c>
      <c r="D30" s="23"/>
      <c r="E30" s="23"/>
      <c r="F30" s="25">
        <v>1</v>
      </c>
      <c r="G30" s="23"/>
      <c r="H30" s="25">
        <v>4.21</v>
      </c>
      <c r="I30" s="23"/>
      <c r="J30" s="10">
        <v>11.5</v>
      </c>
      <c r="K30" s="25">
        <f>ROUND(F30*H30,2)</f>
        <v>4.21</v>
      </c>
      <c r="L30" s="26"/>
      <c r="M30" s="11">
        <f>ROUND(F30*J30,2)</f>
        <v>11.5</v>
      </c>
    </row>
    <row r="31" spans="2:14" ht="12.75" customHeight="1">
      <c r="B31" s="12">
        <v>3</v>
      </c>
      <c r="C31" s="40" t="s">
        <v>31</v>
      </c>
      <c r="D31" s="28"/>
      <c r="E31" s="28"/>
      <c r="F31" s="30">
        <v>2</v>
      </c>
      <c r="G31" s="28"/>
      <c r="H31" s="30">
        <v>3.43</v>
      </c>
      <c r="I31" s="28"/>
      <c r="J31" s="16">
        <v>11.5</v>
      </c>
      <c r="K31" s="25">
        <f>ROUND(F31*H31,2)</f>
        <v>6.86</v>
      </c>
      <c r="L31" s="26"/>
      <c r="M31" s="11">
        <f>ROUND(F31*J31,2)</f>
        <v>23</v>
      </c>
    </row>
    <row r="32" spans="2:14" ht="12.75" customHeight="1">
      <c r="B32" s="58" t="s">
        <v>50</v>
      </c>
      <c r="C32" s="33"/>
      <c r="D32" s="33"/>
      <c r="E32" s="33"/>
      <c r="F32" s="20">
        <f>ROUND(F29 + F30 + F31, 2)</f>
        <v>4</v>
      </c>
      <c r="G32" s="32" t="s">
        <v>32</v>
      </c>
      <c r="H32" s="33"/>
      <c r="I32" s="33"/>
      <c r="J32" s="33"/>
      <c r="K32" s="42">
        <f>ROUND(K29 + K30 + K31, 2)</f>
        <v>16.13</v>
      </c>
      <c r="L32" s="38"/>
      <c r="M32" s="19">
        <f>ROUND(M29 + M30 + M31, 2)</f>
        <v>46</v>
      </c>
    </row>
    <row r="33" spans="6:14" ht="12.75" customHeight="1">
      <c r="F33" s="41" t="s">
        <v>33</v>
      </c>
      <c r="G33" s="23"/>
      <c r="H33" s="23"/>
      <c r="I33" s="23"/>
      <c r="J33" s="23"/>
      <c r="K33" s="42">
        <f>ROUND(K32*18, 2)</f>
        <v>290.33999999999997</v>
      </c>
      <c r="L33" s="38"/>
      <c r="M33" s="21"/>
    </row>
    <row r="34" spans="6:14" ht="12.75" customHeight="1">
      <c r="F34" s="41" t="s">
        <v>34</v>
      </c>
      <c r="G34" s="23"/>
      <c r="H34" s="23"/>
      <c r="I34" s="23"/>
      <c r="J34" s="23"/>
      <c r="K34" s="43">
        <f>ROUND(K33+K32, 2)</f>
        <v>306.47000000000003</v>
      </c>
      <c r="L34" s="44"/>
      <c r="M34" s="17">
        <f>ROUND(M32,2)</f>
        <v>46</v>
      </c>
      <c r="N34" s="18">
        <f>N35/N37</f>
        <v>0.26163437987085286</v>
      </c>
    </row>
    <row r="35" spans="6:14" ht="12.75" customHeight="1">
      <c r="F35" s="41" t="s">
        <v>35</v>
      </c>
      <c r="G35" s="23"/>
      <c r="H35" s="23"/>
      <c r="I35" s="23"/>
      <c r="J35" s="23"/>
      <c r="K35" s="46">
        <f>K34+M34</f>
        <v>352.47</v>
      </c>
      <c r="L35" s="37"/>
      <c r="M35" s="37"/>
      <c r="N35" s="19">
        <f>ROUND(K35/L10, 2)</f>
        <v>11.75</v>
      </c>
    </row>
    <row r="36" spans="6:14" ht="6.75" customHeight="1"/>
    <row r="37" spans="6:14" ht="12.75" customHeight="1">
      <c r="H37" s="41" t="s">
        <v>36</v>
      </c>
      <c r="I37" s="23"/>
      <c r="J37" s="23"/>
      <c r="K37" s="23"/>
      <c r="L37" s="23"/>
      <c r="M37" s="23"/>
      <c r="N37" s="19">
        <f>ROUND(N35 + N26 + N20, 2)</f>
        <v>44.91</v>
      </c>
    </row>
    <row r="38" spans="6:14" ht="12.75" customHeight="1">
      <c r="H38" s="41" t="s">
        <v>37</v>
      </c>
      <c r="I38" s="23"/>
      <c r="J38" s="23"/>
      <c r="K38" s="23"/>
      <c r="L38" s="23"/>
      <c r="M38" s="23"/>
      <c r="N38" s="19">
        <f>ROUND(N37*0.35, 2)</f>
        <v>15.72</v>
      </c>
    </row>
    <row r="39" spans="6:14" ht="12.75" customHeight="1">
      <c r="H39" s="41" t="s">
        <v>38</v>
      </c>
      <c r="I39" s="23"/>
      <c r="J39" s="23"/>
      <c r="K39" s="23"/>
      <c r="L39" s="23"/>
      <c r="M39" s="23"/>
      <c r="N39" s="19">
        <f>N38+N37</f>
        <v>60.629999999999995</v>
      </c>
    </row>
    <row r="40" spans="6:14" ht="12.75" customHeight="1">
      <c r="H40" s="41" t="s">
        <v>39</v>
      </c>
      <c r="I40" s="23"/>
      <c r="J40" s="23"/>
      <c r="K40" s="23"/>
      <c r="L40" s="23"/>
      <c r="M40" s="23"/>
      <c r="N40" s="19">
        <f>ROUND(N39*0.3, 2)</f>
        <v>18.190000000000001</v>
      </c>
    </row>
    <row r="41" spans="6:14" ht="12.75" customHeight="1">
      <c r="H41" s="41" t="s">
        <v>40</v>
      </c>
      <c r="I41" s="23"/>
      <c r="J41" s="23"/>
      <c r="K41" s="23"/>
      <c r="L41" s="23"/>
      <c r="M41" s="23"/>
      <c r="N41" s="19">
        <f>N40+N39</f>
        <v>78.819999999999993</v>
      </c>
    </row>
    <row r="42" spans="6:14" ht="12.75" customHeight="1">
      <c r="H42" s="41" t="s">
        <v>41</v>
      </c>
      <c r="I42" s="23"/>
      <c r="J42" s="23"/>
      <c r="K42" s="23"/>
      <c r="L42" s="23"/>
      <c r="M42" s="23"/>
      <c r="N42" s="19">
        <f>ROUND(N41*0, 2)</f>
        <v>0</v>
      </c>
    </row>
    <row r="43" spans="6:14" ht="12.75" customHeight="1">
      <c r="H43" s="45" t="s">
        <v>42</v>
      </c>
      <c r="I43" s="23"/>
      <c r="J43" s="23"/>
      <c r="K43" s="23"/>
      <c r="L43" s="23"/>
      <c r="M43" s="23"/>
      <c r="N43" s="19">
        <f>N42+N41</f>
        <v>78.819999999999993</v>
      </c>
    </row>
    <row r="44" spans="6:14" ht="12.75" customHeight="1"/>
    <row r="45" spans="6:14" ht="12.75" customHeight="1"/>
    <row r="46" spans="6:14" ht="12.75" customHeight="1"/>
    <row r="47" spans="6:14" ht="12.75" customHeight="1"/>
    <row r="48" spans="6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">
    <mergeCell ref="D24:F24"/>
    <mergeCell ref="F29:G29"/>
    <mergeCell ref="H29:I29"/>
    <mergeCell ref="G20:L20"/>
    <mergeCell ref="G22:H22"/>
    <mergeCell ref="I22:J22"/>
    <mergeCell ref="K22:L22"/>
    <mergeCell ref="G23:H23"/>
    <mergeCell ref="I23:J23"/>
    <mergeCell ref="K23:L23"/>
    <mergeCell ref="B32:E32"/>
    <mergeCell ref="G32:J32"/>
    <mergeCell ref="K32:L32"/>
    <mergeCell ref="C29:E29"/>
    <mergeCell ref="D17:F17"/>
    <mergeCell ref="D18:F18"/>
    <mergeCell ref="B21:F21"/>
    <mergeCell ref="C22:F22"/>
    <mergeCell ref="D23:F23"/>
    <mergeCell ref="H17:I17"/>
    <mergeCell ref="K17:L17"/>
    <mergeCell ref="H18:I18"/>
    <mergeCell ref="K18:L18"/>
    <mergeCell ref="G19:L19"/>
    <mergeCell ref="D15:F15"/>
    <mergeCell ref="K15:L15"/>
    <mergeCell ref="K16:L16"/>
    <mergeCell ref="H15:I15"/>
    <mergeCell ref="H16:I16"/>
    <mergeCell ref="D16:F16"/>
    <mergeCell ref="B12:F12"/>
    <mergeCell ref="H13:I13"/>
    <mergeCell ref="K13:L13"/>
    <mergeCell ref="C13:F13"/>
    <mergeCell ref="D14:F14"/>
    <mergeCell ref="H14:I14"/>
    <mergeCell ref="K14:L14"/>
    <mergeCell ref="B7:M7"/>
    <mergeCell ref="B9:M9"/>
    <mergeCell ref="B10:D10"/>
    <mergeCell ref="F10:I10"/>
    <mergeCell ref="J10:K10"/>
    <mergeCell ref="L10:M10"/>
    <mergeCell ref="B2:L2"/>
    <mergeCell ref="M2:N2"/>
    <mergeCell ref="B3:D3"/>
    <mergeCell ref="B4:M4"/>
    <mergeCell ref="B5:M5"/>
    <mergeCell ref="F34:J34"/>
    <mergeCell ref="K34:L34"/>
    <mergeCell ref="H42:M42"/>
    <mergeCell ref="H43:M43"/>
    <mergeCell ref="F35:J35"/>
    <mergeCell ref="K35:M35"/>
    <mergeCell ref="H37:M37"/>
    <mergeCell ref="H38:M38"/>
    <mergeCell ref="H39:M39"/>
    <mergeCell ref="H40:M40"/>
    <mergeCell ref="H41:M41"/>
    <mergeCell ref="F33:J33"/>
    <mergeCell ref="K33:L33"/>
    <mergeCell ref="K29:L29"/>
    <mergeCell ref="K30:L30"/>
    <mergeCell ref="K31:L31"/>
    <mergeCell ref="C30:E30"/>
    <mergeCell ref="F30:G30"/>
    <mergeCell ref="H30:I30"/>
    <mergeCell ref="C31:E31"/>
    <mergeCell ref="F31:G31"/>
    <mergeCell ref="H31:I31"/>
    <mergeCell ref="G26:L26"/>
    <mergeCell ref="D25:F25"/>
    <mergeCell ref="B27:F27"/>
    <mergeCell ref="C28:E28"/>
    <mergeCell ref="F28:G28"/>
    <mergeCell ref="H28:I28"/>
    <mergeCell ref="K28:L28"/>
    <mergeCell ref="G24:H24"/>
    <mergeCell ref="I24:J24"/>
    <mergeCell ref="K24:L24"/>
    <mergeCell ref="G25:H25"/>
    <mergeCell ref="I25:J25"/>
    <mergeCell ref="K25:L25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Neiroby Serrano</dc:creator>
  <cp:lastModifiedBy>Marlon Falcon</cp:lastModifiedBy>
  <dcterms:created xsi:type="dcterms:W3CDTF">2025-01-29T13:23:04Z</dcterms:created>
  <dcterms:modified xsi:type="dcterms:W3CDTF">2025-04-07T11:48:07Z</dcterms:modified>
</cp:coreProperties>
</file>